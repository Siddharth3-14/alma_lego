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cumming_chalmers_se/Documents/exhibition/tech/lego ALMA/"/>
    </mc:Choice>
  </mc:AlternateContent>
  <xr:revisionPtr revIDLastSave="103" documentId="8_{9006BE7F-1394-4D71-AABF-65E04951B224}" xr6:coauthVersionLast="47" xr6:coauthVersionMax="47" xr10:uidLastSave="{654D6FAC-EABF-40C3-94C5-366EF9CF43C3}"/>
  <bookViews>
    <workbookView xWindow="-96" yWindow="-96" windowWidth="23232" windowHeight="12552" xr2:uid="{00000000-000D-0000-FFFF-FFFF00000000}"/>
  </bookViews>
  <sheets>
    <sheet name="coord conversion map" sheetId="3" r:id="rId1"/>
    <sheet name="antenna_coordinates_in_cm (2)" sheetId="2" r:id="rId2"/>
    <sheet name="antenna_coordinates_in_cm" sheetId="1" r:id="rId3"/>
  </sheets>
  <definedNames>
    <definedName name="ExternalData_1" localSheetId="1" hidden="1">'antenna_coordinates_in_cm (2)'!$A$1:$C$45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E2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ntenna_coordinates_in_cm" description="Connection to the 'antenna_coordinates_in_cm' query in the workbook." type="5" refreshedVersion="8" background="1" saveData="1">
    <dbPr connection="Provider=Microsoft.Mashup.OleDb.1;Data Source=$Workbook$;Location=antenna_coordinates_in_cm;Extended Properties=&quot;&quot;" command="SELECT * FROM [antenna_coordinates_in_cm]"/>
  </connection>
</connections>
</file>

<file path=xl/sharedStrings.xml><?xml version="1.0" encoding="utf-8"?>
<sst xmlns="http://schemas.openxmlformats.org/spreadsheetml/2006/main" count="140" uniqueCount="126">
  <si>
    <t>Olas nr</t>
  </si>
  <si>
    <t>antennr</t>
  </si>
  <si>
    <t>x</t>
  </si>
  <si>
    <t>y</t>
  </si>
  <si>
    <t>Column1</t>
  </si>
  <si>
    <t>Column2</t>
  </si>
  <si>
    <t>Column3</t>
  </si>
  <si>
    <t>53.5</t>
  </si>
  <si>
    <t>47</t>
  </si>
  <si>
    <t>53</t>
  </si>
  <si>
    <t>-48.5</t>
  </si>
  <si>
    <t>-18.5</t>
  </si>
  <si>
    <t>44.5</t>
  </si>
  <si>
    <t>30</t>
  </si>
  <si>
    <t>42.5</t>
  </si>
  <si>
    <t>51.5</t>
  </si>
  <si>
    <t>-46.5</t>
  </si>
  <si>
    <t>40.5</t>
  </si>
  <si>
    <t>34.5</t>
  </si>
  <si>
    <t>40</t>
  </si>
  <si>
    <t>25.5</t>
  </si>
  <si>
    <t>37.5</t>
  </si>
  <si>
    <t>15.5</t>
  </si>
  <si>
    <t>36.5</t>
  </si>
  <si>
    <t>-19</t>
  </si>
  <si>
    <t>36</t>
  </si>
  <si>
    <t>21.5</t>
  </si>
  <si>
    <t>33.5</t>
  </si>
  <si>
    <t>45</t>
  </si>
  <si>
    <t>32.5</t>
  </si>
  <si>
    <t>38.5</t>
  </si>
  <si>
    <t>29.5</t>
  </si>
  <si>
    <t>-49.5</t>
  </si>
  <si>
    <t>28.5</t>
  </si>
  <si>
    <t>20.5</t>
  </si>
  <si>
    <t>-22.5</t>
  </si>
  <si>
    <t>26.5</t>
  </si>
  <si>
    <t>-44</t>
  </si>
  <si>
    <t>22.5</t>
  </si>
  <si>
    <t>-35</t>
  </si>
  <si>
    <t>17</t>
  </si>
  <si>
    <t>-26.5</t>
  </si>
  <si>
    <t>13.5</t>
  </si>
  <si>
    <t>6.5</t>
  </si>
  <si>
    <t>-15</t>
  </si>
  <si>
    <t>11</t>
  </si>
  <si>
    <t>-7</t>
  </si>
  <si>
    <t>3.5</t>
  </si>
  <si>
    <t>10</t>
  </si>
  <si>
    <t>2.5</t>
  </si>
  <si>
    <t>-12.5</t>
  </si>
  <si>
    <t>1.5</t>
  </si>
  <si>
    <t>-1</t>
  </si>
  <si>
    <t>1</t>
  </si>
  <si>
    <t>-17.5</t>
  </si>
  <si>
    <t>-5</t>
  </si>
  <si>
    <t>-21.5</t>
  </si>
  <si>
    <t>-5.5</t>
  </si>
  <si>
    <t>-11</t>
  </si>
  <si>
    <t>-9.5</t>
  </si>
  <si>
    <t>-12</t>
  </si>
  <si>
    <t>3</t>
  </si>
  <si>
    <t>-16</t>
  </si>
  <si>
    <t>19.5</t>
  </si>
  <si>
    <t>-16.5</t>
  </si>
  <si>
    <t>-3</t>
  </si>
  <si>
    <t>-13.5</t>
  </si>
  <si>
    <t>-24</t>
  </si>
  <si>
    <t>8</t>
  </si>
  <si>
    <t>-25</t>
  </si>
  <si>
    <t>23</t>
  </si>
  <si>
    <t>-29.5</t>
  </si>
  <si>
    <t>-30.5</t>
  </si>
  <si>
    <t>24.5</t>
  </si>
  <si>
    <t>-40</t>
  </si>
  <si>
    <t>5</t>
  </si>
  <si>
    <t>-50.5</t>
  </si>
  <si>
    <t>-52.5</t>
  </si>
  <si>
    <t>-32</t>
  </si>
  <si>
    <t>-54</t>
  </si>
  <si>
    <t>-10.5</t>
  </si>
  <si>
    <t>ant,posx,posy</t>
  </si>
  <si>
    <t>1,53.5,47</t>
  </si>
  <si>
    <t>2,53,-48.5</t>
  </si>
  <si>
    <t>3,47,-18.5</t>
  </si>
  <si>
    <t>4,44.5,30</t>
  </si>
  <si>
    <t>5,42.5,51.5</t>
  </si>
  <si>
    <t>6,42.5,-46.5</t>
  </si>
  <si>
    <t>7,40.5,34.5</t>
  </si>
  <si>
    <t>8,40,25.5</t>
  </si>
  <si>
    <t>9,37.5,15.5</t>
  </si>
  <si>
    <t>10,36.5,-19</t>
  </si>
  <si>
    <t>11,36,21.5</t>
  </si>
  <si>
    <t>12,33.5,45</t>
  </si>
  <si>
    <t>13,32.5,38.5</t>
  </si>
  <si>
    <t>14,29.5,-49.5</t>
  </si>
  <si>
    <t>15,28.5,20.5</t>
  </si>
  <si>
    <t>16,28.5,-22.5</t>
  </si>
  <si>
    <t>17,26.5,-44</t>
  </si>
  <si>
    <t>18,22.5,-35</t>
  </si>
  <si>
    <t>19,21.5,17</t>
  </si>
  <si>
    <t>20,17,-26.5</t>
  </si>
  <si>
    <t>21,13.5,6.5</t>
  </si>
  <si>
    <t>22,13.5,-15</t>
  </si>
  <si>
    <t>23,11,-7</t>
  </si>
  <si>
    <t>24,3.5,10</t>
  </si>
  <si>
    <t>25,2.5,-12.5</t>
  </si>
  <si>
    <t>26,1.5,-1</t>
  </si>
  <si>
    <t>27,1,-17.5</t>
  </si>
  <si>
    <t>28,-5,-21.5</t>
  </si>
  <si>
    <t>29,-5.5,-11</t>
  </si>
  <si>
    <t>30,-9.5,11</t>
  </si>
  <si>
    <t>31,-12,-7</t>
  </si>
  <si>
    <t>32,-15,3</t>
  </si>
  <si>
    <t>33,-16,19.5</t>
  </si>
  <si>
    <t>34,-16.5,-17.5</t>
  </si>
  <si>
    <t>35,-18.5,-3</t>
  </si>
  <si>
    <t>36,-19,-13.5</t>
  </si>
  <si>
    <t>37,-24,8</t>
  </si>
  <si>
    <t>38,-25,23</t>
  </si>
  <si>
    <t>39,-29.5,6.5</t>
  </si>
  <si>
    <t>40,-30.5,24.5</t>
  </si>
  <si>
    <t>41,-40,5</t>
  </si>
  <si>
    <t>42,-50.5,-1</t>
  </si>
  <si>
    <t>43,-52.5,-32</t>
  </si>
  <si>
    <t>44,-54,-10.5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</si>
</sst>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_ ;\-#,##0\ "/>
    <numFmt numFmtId="166" formatCode="#,##0.0_ ;\-#,##0.0\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0" fontId="0" fillId="33" borderId="10" xfId="1" applyNumberFormat="1" applyFont="1" applyFill="1" applyBorder="1"/>
    <xf numFmtId="0" fontId="0" fillId="33" borderId="11" xfId="1" applyNumberFormat="1" applyFont="1" applyFill="1" applyBorder="1"/>
    <xf numFmtId="0" fontId="0" fillId="0" borderId="10" xfId="1" applyNumberFormat="1" applyFont="1" applyBorder="1"/>
    <xf numFmtId="0" fontId="0" fillId="0" borderId="11" xfId="1" applyNumberFormat="1" applyFont="1" applyBorder="1"/>
    <xf numFmtId="0" fontId="0" fillId="33" borderId="12" xfId="0" applyFill="1" applyBorder="1"/>
    <xf numFmtId="0" fontId="0" fillId="0" borderId="12" xfId="0" applyBorder="1"/>
    <xf numFmtId="0" fontId="18" fillId="0" borderId="0" xfId="0" applyFont="1"/>
    <xf numFmtId="0" fontId="16" fillId="0" borderId="0" xfId="0" applyFont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6" formatCode="#,##0.0_ ;\-#,##0.0\ "/>
    </dxf>
    <dxf>
      <numFmt numFmtId="166" formatCode="#,##0.0_ ;\-#,##0.0\ 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8E-2"/>
          <c:y val="0.12797797878309877"/>
          <c:w val="0.90972922134733158"/>
          <c:h val="0.855520538910426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'coord conversion map'!$C$2:$C$45</c:f>
              <c:numCache>
                <c:formatCode>General</c:formatCode>
                <c:ptCount val="44"/>
                <c:pt idx="0">
                  <c:v>53.5</c:v>
                </c:pt>
                <c:pt idx="1">
                  <c:v>53</c:v>
                </c:pt>
                <c:pt idx="2">
                  <c:v>47</c:v>
                </c:pt>
                <c:pt idx="3">
                  <c:v>44.5</c:v>
                </c:pt>
                <c:pt idx="4">
                  <c:v>42.5</c:v>
                </c:pt>
                <c:pt idx="5">
                  <c:v>42.5</c:v>
                </c:pt>
                <c:pt idx="6">
                  <c:v>40.5</c:v>
                </c:pt>
                <c:pt idx="7">
                  <c:v>40</c:v>
                </c:pt>
                <c:pt idx="8">
                  <c:v>37.5</c:v>
                </c:pt>
                <c:pt idx="9">
                  <c:v>36.5</c:v>
                </c:pt>
                <c:pt idx="10">
                  <c:v>36</c:v>
                </c:pt>
                <c:pt idx="11">
                  <c:v>33.5</c:v>
                </c:pt>
                <c:pt idx="12">
                  <c:v>32.5</c:v>
                </c:pt>
                <c:pt idx="13">
                  <c:v>29.5</c:v>
                </c:pt>
                <c:pt idx="14">
                  <c:v>28.5</c:v>
                </c:pt>
                <c:pt idx="15">
                  <c:v>28.5</c:v>
                </c:pt>
                <c:pt idx="16">
                  <c:v>26.5</c:v>
                </c:pt>
                <c:pt idx="17">
                  <c:v>22.5</c:v>
                </c:pt>
                <c:pt idx="18">
                  <c:v>21.5</c:v>
                </c:pt>
                <c:pt idx="19">
                  <c:v>17</c:v>
                </c:pt>
                <c:pt idx="20">
                  <c:v>13.5</c:v>
                </c:pt>
                <c:pt idx="21">
                  <c:v>13.5</c:v>
                </c:pt>
                <c:pt idx="22">
                  <c:v>11</c:v>
                </c:pt>
                <c:pt idx="23">
                  <c:v>3.5</c:v>
                </c:pt>
                <c:pt idx="24">
                  <c:v>2.5</c:v>
                </c:pt>
                <c:pt idx="25">
                  <c:v>1.5</c:v>
                </c:pt>
                <c:pt idx="26">
                  <c:v>1</c:v>
                </c:pt>
                <c:pt idx="27">
                  <c:v>-5</c:v>
                </c:pt>
                <c:pt idx="28">
                  <c:v>-5.5</c:v>
                </c:pt>
                <c:pt idx="29">
                  <c:v>-9.5</c:v>
                </c:pt>
                <c:pt idx="30">
                  <c:v>-12</c:v>
                </c:pt>
                <c:pt idx="31">
                  <c:v>-15</c:v>
                </c:pt>
                <c:pt idx="32">
                  <c:v>-16</c:v>
                </c:pt>
                <c:pt idx="33">
                  <c:v>-16.5</c:v>
                </c:pt>
                <c:pt idx="34">
                  <c:v>-18.5</c:v>
                </c:pt>
                <c:pt idx="35">
                  <c:v>-19</c:v>
                </c:pt>
                <c:pt idx="36">
                  <c:v>-24</c:v>
                </c:pt>
                <c:pt idx="37">
                  <c:v>-25</c:v>
                </c:pt>
                <c:pt idx="38">
                  <c:v>-29.5</c:v>
                </c:pt>
                <c:pt idx="39">
                  <c:v>-30.5</c:v>
                </c:pt>
                <c:pt idx="40">
                  <c:v>-40</c:v>
                </c:pt>
                <c:pt idx="41">
                  <c:v>-50.5</c:v>
                </c:pt>
                <c:pt idx="42">
                  <c:v>-52.5</c:v>
                </c:pt>
                <c:pt idx="43">
                  <c:v>-54</c:v>
                </c:pt>
              </c:numCache>
            </c:numRef>
          </c:xVal>
          <c:yVal>
            <c:numRef>
              <c:f>'coord conversion map'!$D$2:$D$45</c:f>
              <c:numCache>
                <c:formatCode>General</c:formatCode>
                <c:ptCount val="44"/>
                <c:pt idx="0">
                  <c:v>47</c:v>
                </c:pt>
                <c:pt idx="1">
                  <c:v>-48.5</c:v>
                </c:pt>
                <c:pt idx="2">
                  <c:v>-18.5</c:v>
                </c:pt>
                <c:pt idx="3">
                  <c:v>30</c:v>
                </c:pt>
                <c:pt idx="4">
                  <c:v>51.5</c:v>
                </c:pt>
                <c:pt idx="5">
                  <c:v>-46.5</c:v>
                </c:pt>
                <c:pt idx="6">
                  <c:v>34.5</c:v>
                </c:pt>
                <c:pt idx="7">
                  <c:v>25.5</c:v>
                </c:pt>
                <c:pt idx="8">
                  <c:v>15.5</c:v>
                </c:pt>
                <c:pt idx="9">
                  <c:v>-19</c:v>
                </c:pt>
                <c:pt idx="10">
                  <c:v>21.5</c:v>
                </c:pt>
                <c:pt idx="11">
                  <c:v>45</c:v>
                </c:pt>
                <c:pt idx="12">
                  <c:v>38.5</c:v>
                </c:pt>
                <c:pt idx="13">
                  <c:v>-49.5</c:v>
                </c:pt>
                <c:pt idx="14">
                  <c:v>20.5</c:v>
                </c:pt>
                <c:pt idx="15">
                  <c:v>-22.5</c:v>
                </c:pt>
                <c:pt idx="16">
                  <c:v>-44</c:v>
                </c:pt>
                <c:pt idx="17">
                  <c:v>-35</c:v>
                </c:pt>
                <c:pt idx="18">
                  <c:v>17</c:v>
                </c:pt>
                <c:pt idx="19">
                  <c:v>-26.5</c:v>
                </c:pt>
                <c:pt idx="20">
                  <c:v>6.5</c:v>
                </c:pt>
                <c:pt idx="21">
                  <c:v>-15</c:v>
                </c:pt>
                <c:pt idx="22">
                  <c:v>-7</c:v>
                </c:pt>
                <c:pt idx="23">
                  <c:v>10</c:v>
                </c:pt>
                <c:pt idx="24">
                  <c:v>-12.5</c:v>
                </c:pt>
                <c:pt idx="25">
                  <c:v>-1</c:v>
                </c:pt>
                <c:pt idx="26">
                  <c:v>-17.5</c:v>
                </c:pt>
                <c:pt idx="27">
                  <c:v>-21.5</c:v>
                </c:pt>
                <c:pt idx="28">
                  <c:v>-11</c:v>
                </c:pt>
                <c:pt idx="29">
                  <c:v>11</c:v>
                </c:pt>
                <c:pt idx="30">
                  <c:v>-7</c:v>
                </c:pt>
                <c:pt idx="31">
                  <c:v>3</c:v>
                </c:pt>
                <c:pt idx="32">
                  <c:v>19.5</c:v>
                </c:pt>
                <c:pt idx="33">
                  <c:v>-17.5</c:v>
                </c:pt>
                <c:pt idx="34">
                  <c:v>-3</c:v>
                </c:pt>
                <c:pt idx="35">
                  <c:v>-13.5</c:v>
                </c:pt>
                <c:pt idx="36">
                  <c:v>8</c:v>
                </c:pt>
                <c:pt idx="37">
                  <c:v>23</c:v>
                </c:pt>
                <c:pt idx="38">
                  <c:v>6.5</c:v>
                </c:pt>
                <c:pt idx="39">
                  <c:v>24.5</c:v>
                </c:pt>
                <c:pt idx="40">
                  <c:v>5</c:v>
                </c:pt>
                <c:pt idx="41">
                  <c:v>-1</c:v>
                </c:pt>
                <c:pt idx="42">
                  <c:v>-32</c:v>
                </c:pt>
                <c:pt idx="43">
                  <c:v>-10.5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4-4F39-B1E6-1F066872C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47272"/>
        <c:axId val="827765632"/>
      </c:scatterChart>
      <c:valAx>
        <c:axId val="82774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65632"/>
        <c:crosses val="autoZero"/>
        <c:crossBetween val="midCat"/>
      </c:valAx>
      <c:valAx>
        <c:axId val="8277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4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'antenna_coordinates_in_cm (2)'!$C$1:$C$44</c:f>
              <c:strCache>
                <c:ptCount val="44"/>
                <c:pt idx="0">
                  <c:v>Column3</c:v>
                </c:pt>
                <c:pt idx="1">
                  <c:v>47</c:v>
                </c:pt>
                <c:pt idx="2">
                  <c:v>-48.5</c:v>
                </c:pt>
                <c:pt idx="3">
                  <c:v>-18.5</c:v>
                </c:pt>
                <c:pt idx="4">
                  <c:v>30</c:v>
                </c:pt>
                <c:pt idx="5">
                  <c:v>51.5</c:v>
                </c:pt>
                <c:pt idx="6">
                  <c:v>-46.5</c:v>
                </c:pt>
                <c:pt idx="7">
                  <c:v>34.5</c:v>
                </c:pt>
                <c:pt idx="8">
                  <c:v>25.5</c:v>
                </c:pt>
                <c:pt idx="9">
                  <c:v>15.5</c:v>
                </c:pt>
                <c:pt idx="10">
                  <c:v>-19</c:v>
                </c:pt>
                <c:pt idx="11">
                  <c:v>21.5</c:v>
                </c:pt>
                <c:pt idx="12">
                  <c:v>45</c:v>
                </c:pt>
                <c:pt idx="13">
                  <c:v>38.5</c:v>
                </c:pt>
                <c:pt idx="14">
                  <c:v>-49.5</c:v>
                </c:pt>
                <c:pt idx="15">
                  <c:v>20.5</c:v>
                </c:pt>
                <c:pt idx="16">
                  <c:v>-22.5</c:v>
                </c:pt>
                <c:pt idx="17">
                  <c:v>-44</c:v>
                </c:pt>
                <c:pt idx="18">
                  <c:v>-35</c:v>
                </c:pt>
                <c:pt idx="19">
                  <c:v>17</c:v>
                </c:pt>
                <c:pt idx="20">
                  <c:v>-26.5</c:v>
                </c:pt>
                <c:pt idx="21">
                  <c:v>6.5</c:v>
                </c:pt>
                <c:pt idx="22">
                  <c:v>-15</c:v>
                </c:pt>
                <c:pt idx="23">
                  <c:v>-7</c:v>
                </c:pt>
                <c:pt idx="24">
                  <c:v>10</c:v>
                </c:pt>
                <c:pt idx="25">
                  <c:v>-12.5</c:v>
                </c:pt>
                <c:pt idx="26">
                  <c:v>-1</c:v>
                </c:pt>
                <c:pt idx="27">
                  <c:v>-17.5</c:v>
                </c:pt>
                <c:pt idx="28">
                  <c:v>-21.5</c:v>
                </c:pt>
                <c:pt idx="29">
                  <c:v>-11</c:v>
                </c:pt>
                <c:pt idx="30">
                  <c:v>11</c:v>
                </c:pt>
                <c:pt idx="31">
                  <c:v>-7</c:v>
                </c:pt>
                <c:pt idx="32">
                  <c:v>3</c:v>
                </c:pt>
                <c:pt idx="33">
                  <c:v>19.5</c:v>
                </c:pt>
                <c:pt idx="34">
                  <c:v>-17.5</c:v>
                </c:pt>
                <c:pt idx="35">
                  <c:v>-3</c:v>
                </c:pt>
                <c:pt idx="36">
                  <c:v>-13.5</c:v>
                </c:pt>
                <c:pt idx="37">
                  <c:v>8</c:v>
                </c:pt>
                <c:pt idx="38">
                  <c:v>23</c:v>
                </c:pt>
                <c:pt idx="39">
                  <c:v>6.5</c:v>
                </c:pt>
                <c:pt idx="40">
                  <c:v>24.5</c:v>
                </c:pt>
                <c:pt idx="41">
                  <c:v>5</c:v>
                </c:pt>
                <c:pt idx="42">
                  <c:v>-1</c:v>
                </c:pt>
                <c:pt idx="43">
                  <c:v>-32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'antenna_coordinates_in_cm (2)'!$B$45</c:f>
              <c:strCache>
                <c:ptCount val="1"/>
                <c:pt idx="0">
                  <c:v>-54</c:v>
                </c:pt>
              </c:strCache>
            </c:strRef>
          </c:xVal>
          <c:yVal>
            <c:numRef>
              <c:f>'antenna_coordinates_in_cm (2)'!$C$45</c:f>
              <c:numCache>
                <c:formatCode>#,##0.0_ ;\-#,##0.0\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0-4528-ABBA-7661DA24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53032"/>
        <c:axId val="827753392"/>
      </c:scatterChart>
      <c:valAx>
        <c:axId val="82775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53392"/>
        <c:crosses val="autoZero"/>
        <c:crossBetween val="midCat"/>
      </c:valAx>
      <c:valAx>
        <c:axId val="8277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\-#,##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7753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7</xdr:row>
      <xdr:rowOff>17144</xdr:rowOff>
    </xdr:from>
    <xdr:to>
      <xdr:col>16</xdr:col>
      <xdr:colOff>419100</xdr:colOff>
      <xdr:row>35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49AB-C94A-C23A-9E72-50DB1C6D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25</xdr:row>
      <xdr:rowOff>17145</xdr:rowOff>
    </xdr:from>
    <xdr:to>
      <xdr:col>15</xdr:col>
      <xdr:colOff>388620</xdr:colOff>
      <xdr:row>40</xdr:row>
      <xdr:rowOff>17145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E43D75-84AB-54FD-804C-089ABFF57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ant" tableColumnId="1"/>
      <queryTableField id="2" name="posx" tableColumnId="2"/>
      <queryTableField id="3" name="pos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tenna_coordinates_in_cm" displayName="antenna_coordinates_in_cm" ref="A1:C45" tableType="queryTable" totalsRowShown="0">
  <autoFilter ref="A1:C45" xr:uid="{00000000-0009-0000-0100-000001000000}"/>
  <tableColumns count="3">
    <tableColumn id="1" xr3:uid="{00000000-0010-0000-0000-000001000000}" uniqueName="1" name="Column1" queryTableFieldId="1"/>
    <tableColumn id="2" xr3:uid="{00000000-0010-0000-0000-000002000000}" uniqueName="2" name="Column2" queryTableFieldId="2" dataDxfId="1" dataCellStyle="Comma"/>
    <tableColumn id="3" xr3:uid="{00000000-0010-0000-0000-000003000000}" uniqueName="3" name="Column3" queryTableFieldId="3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6BE0-A048-4151-A3D9-34CA97AA50FD}">
  <dimension ref="A1:D45"/>
  <sheetViews>
    <sheetView tabSelected="1" workbookViewId="0">
      <selection activeCell="F6" sqref="F6"/>
    </sheetView>
  </sheetViews>
  <sheetFormatPr defaultRowHeight="14.45"/>
  <sheetData>
    <row r="1" spans="1:4" s="10" customFormat="1">
      <c r="A1" s="10" t="s">
        <v>0</v>
      </c>
      <c r="B1" s="10" t="s">
        <v>1</v>
      </c>
      <c r="C1" s="10" t="s">
        <v>2</v>
      </c>
      <c r="D1" s="10" t="s">
        <v>3</v>
      </c>
    </row>
    <row r="2" spans="1:4">
      <c r="A2" s="9">
        <v>2</v>
      </c>
      <c r="B2" s="7">
        <v>1</v>
      </c>
      <c r="C2" s="3">
        <v>53.5</v>
      </c>
      <c r="D2" s="4">
        <v>47</v>
      </c>
    </row>
    <row r="3" spans="1:4">
      <c r="A3" s="9">
        <v>1</v>
      </c>
      <c r="B3" s="8">
        <v>2</v>
      </c>
      <c r="C3" s="5">
        <v>53</v>
      </c>
      <c r="D3" s="6">
        <v>-48.5</v>
      </c>
    </row>
    <row r="4" spans="1:4">
      <c r="A4" s="9">
        <v>3</v>
      </c>
      <c r="B4" s="7">
        <v>3</v>
      </c>
      <c r="C4" s="3">
        <v>47</v>
      </c>
      <c r="D4" s="4">
        <v>-18.5</v>
      </c>
    </row>
    <row r="5" spans="1:4">
      <c r="A5" s="9">
        <v>4</v>
      </c>
      <c r="B5" s="8">
        <v>4</v>
      </c>
      <c r="C5" s="5">
        <v>44.5</v>
      </c>
      <c r="D5" s="6">
        <v>30</v>
      </c>
    </row>
    <row r="6" spans="1:4">
      <c r="A6" s="9">
        <v>6</v>
      </c>
      <c r="B6" s="7">
        <v>5</v>
      </c>
      <c r="C6" s="3">
        <v>42.5</v>
      </c>
      <c r="D6" s="4">
        <v>51.5</v>
      </c>
    </row>
    <row r="7" spans="1:4">
      <c r="A7" s="9">
        <v>5</v>
      </c>
      <c r="B7" s="8">
        <v>6</v>
      </c>
      <c r="C7" s="5">
        <v>42.5</v>
      </c>
      <c r="D7" s="6">
        <v>-46.5</v>
      </c>
    </row>
    <row r="8" spans="1:4">
      <c r="A8" s="9">
        <v>7</v>
      </c>
      <c r="B8" s="7">
        <v>7</v>
      </c>
      <c r="C8" s="3">
        <v>40.5</v>
      </c>
      <c r="D8" s="4">
        <v>34.5</v>
      </c>
    </row>
    <row r="9" spans="1:4">
      <c r="A9" s="9">
        <v>8</v>
      </c>
      <c r="B9" s="8">
        <v>8</v>
      </c>
      <c r="C9" s="5">
        <v>40</v>
      </c>
      <c r="D9" s="6">
        <v>25.5</v>
      </c>
    </row>
    <row r="10" spans="1:4">
      <c r="A10" s="9">
        <v>10</v>
      </c>
      <c r="B10" s="7">
        <v>9</v>
      </c>
      <c r="C10" s="3">
        <v>37.5</v>
      </c>
      <c r="D10" s="4">
        <v>15.5</v>
      </c>
    </row>
    <row r="11" spans="1:4">
      <c r="A11" s="9">
        <v>11</v>
      </c>
      <c r="B11" s="8">
        <v>10</v>
      </c>
      <c r="C11" s="5">
        <v>36.5</v>
      </c>
      <c r="D11" s="6">
        <v>-19</v>
      </c>
    </row>
    <row r="12" spans="1:4">
      <c r="A12" s="9">
        <v>12</v>
      </c>
      <c r="B12" s="7">
        <v>11</v>
      </c>
      <c r="C12" s="3">
        <v>36</v>
      </c>
      <c r="D12" s="4">
        <v>21.5</v>
      </c>
    </row>
    <row r="13" spans="1:4">
      <c r="A13" s="9">
        <v>14</v>
      </c>
      <c r="B13" s="8">
        <v>12</v>
      </c>
      <c r="C13" s="5">
        <v>33.5</v>
      </c>
      <c r="D13" s="6">
        <v>45</v>
      </c>
    </row>
    <row r="14" spans="1:4">
      <c r="A14" s="9">
        <v>13</v>
      </c>
      <c r="B14" s="7">
        <v>13</v>
      </c>
      <c r="C14" s="3">
        <v>32.5</v>
      </c>
      <c r="D14" s="4">
        <v>38.5</v>
      </c>
    </row>
    <row r="15" spans="1:4">
      <c r="A15" s="9">
        <v>15</v>
      </c>
      <c r="B15" s="8">
        <v>14</v>
      </c>
      <c r="C15" s="5">
        <v>29.5</v>
      </c>
      <c r="D15" s="6">
        <v>-49.5</v>
      </c>
    </row>
    <row r="16" spans="1:4">
      <c r="A16" s="9">
        <v>17</v>
      </c>
      <c r="B16" s="7">
        <v>15</v>
      </c>
      <c r="C16" s="3">
        <v>28.5</v>
      </c>
      <c r="D16" s="4">
        <v>20.5</v>
      </c>
    </row>
    <row r="17" spans="1:4">
      <c r="A17" s="9">
        <v>16</v>
      </c>
      <c r="B17" s="8">
        <v>16</v>
      </c>
      <c r="C17" s="5">
        <v>28.5</v>
      </c>
      <c r="D17" s="6">
        <v>-22.5</v>
      </c>
    </row>
    <row r="18" spans="1:4">
      <c r="A18" s="9">
        <v>18</v>
      </c>
      <c r="B18" s="7">
        <v>17</v>
      </c>
      <c r="C18" s="3">
        <v>26.5</v>
      </c>
      <c r="D18" s="4">
        <v>-44</v>
      </c>
    </row>
    <row r="19" spans="1:4">
      <c r="A19" s="9">
        <v>19</v>
      </c>
      <c r="B19" s="8">
        <v>18</v>
      </c>
      <c r="C19" s="5">
        <v>22.5</v>
      </c>
      <c r="D19" s="6">
        <v>-35</v>
      </c>
    </row>
    <row r="20" spans="1:4">
      <c r="A20" s="9">
        <v>20</v>
      </c>
      <c r="B20" s="7">
        <v>19</v>
      </c>
      <c r="C20" s="3">
        <v>21.5</v>
      </c>
      <c r="D20" s="4">
        <v>17</v>
      </c>
    </row>
    <row r="21" spans="1:4">
      <c r="A21" s="9">
        <v>21</v>
      </c>
      <c r="B21" s="8">
        <v>20</v>
      </c>
      <c r="C21" s="5">
        <v>17</v>
      </c>
      <c r="D21" s="6">
        <v>-26.5</v>
      </c>
    </row>
    <row r="22" spans="1:4">
      <c r="A22" s="9">
        <v>24</v>
      </c>
      <c r="B22" s="7">
        <v>21</v>
      </c>
      <c r="C22" s="3">
        <v>13.5</v>
      </c>
      <c r="D22" s="4">
        <v>6.5</v>
      </c>
    </row>
    <row r="23" spans="1:4">
      <c r="A23" s="9">
        <v>22</v>
      </c>
      <c r="B23" s="8">
        <v>22</v>
      </c>
      <c r="C23" s="5">
        <v>13.5</v>
      </c>
      <c r="D23" s="6">
        <v>-15</v>
      </c>
    </row>
    <row r="24" spans="1:4">
      <c r="A24" s="9">
        <v>23</v>
      </c>
      <c r="B24" s="7">
        <v>23</v>
      </c>
      <c r="C24" s="3">
        <v>11</v>
      </c>
      <c r="D24" s="4">
        <v>-7</v>
      </c>
    </row>
    <row r="25" spans="1:4">
      <c r="A25" s="9">
        <v>28</v>
      </c>
      <c r="B25" s="8">
        <v>24</v>
      </c>
      <c r="C25" s="5">
        <v>3.5</v>
      </c>
      <c r="D25" s="6">
        <v>10</v>
      </c>
    </row>
    <row r="26" spans="1:4">
      <c r="A26" s="9">
        <v>26</v>
      </c>
      <c r="B26" s="7">
        <v>25</v>
      </c>
      <c r="C26" s="3">
        <v>2.5</v>
      </c>
      <c r="D26" s="4">
        <v>-12.5</v>
      </c>
    </row>
    <row r="27" spans="1:4">
      <c r="A27" s="9">
        <v>27</v>
      </c>
      <c r="B27" s="8">
        <v>26</v>
      </c>
      <c r="C27" s="5">
        <v>1.5</v>
      </c>
      <c r="D27" s="6">
        <v>-1</v>
      </c>
    </row>
    <row r="28" spans="1:4">
      <c r="A28" s="9">
        <v>25</v>
      </c>
      <c r="B28" s="7">
        <v>27</v>
      </c>
      <c r="C28" s="3">
        <v>1</v>
      </c>
      <c r="D28" s="4">
        <v>-17.5</v>
      </c>
    </row>
    <row r="29" spans="1:4">
      <c r="A29" s="9">
        <v>29</v>
      </c>
      <c r="B29" s="8">
        <v>28</v>
      </c>
      <c r="C29" s="5">
        <v>-5</v>
      </c>
      <c r="D29" s="6">
        <v>-21.5</v>
      </c>
    </row>
    <row r="30" spans="1:4">
      <c r="A30" s="9">
        <v>30</v>
      </c>
      <c r="B30" s="7">
        <v>29</v>
      </c>
      <c r="C30" s="3">
        <v>-5.5</v>
      </c>
      <c r="D30" s="4">
        <v>-11</v>
      </c>
    </row>
    <row r="31" spans="1:4">
      <c r="A31" s="9">
        <v>31</v>
      </c>
      <c r="B31" s="8">
        <v>30</v>
      </c>
      <c r="C31" s="5">
        <v>-9.5</v>
      </c>
      <c r="D31" s="6">
        <v>11</v>
      </c>
    </row>
    <row r="32" spans="1:4">
      <c r="A32" s="9">
        <v>32</v>
      </c>
      <c r="B32" s="7">
        <v>31</v>
      </c>
      <c r="C32" s="3">
        <v>-12</v>
      </c>
      <c r="D32" s="4">
        <v>-7</v>
      </c>
    </row>
    <row r="33" spans="1:4">
      <c r="A33" s="9">
        <v>34</v>
      </c>
      <c r="B33" s="8">
        <v>32</v>
      </c>
      <c r="C33" s="5">
        <v>-15</v>
      </c>
      <c r="D33" s="6">
        <v>3</v>
      </c>
    </row>
    <row r="34" spans="1:4">
      <c r="A34" s="9">
        <v>37</v>
      </c>
      <c r="B34" s="7">
        <v>33</v>
      </c>
      <c r="C34" s="3">
        <v>-16</v>
      </c>
      <c r="D34" s="4">
        <v>19.5</v>
      </c>
    </row>
    <row r="35" spans="1:4">
      <c r="A35" s="9">
        <v>33</v>
      </c>
      <c r="B35" s="8">
        <v>34</v>
      </c>
      <c r="C35" s="5">
        <v>-16.5</v>
      </c>
      <c r="D35" s="6">
        <v>-17.5</v>
      </c>
    </row>
    <row r="36" spans="1:4">
      <c r="A36" s="9">
        <v>36</v>
      </c>
      <c r="B36" s="7">
        <v>35</v>
      </c>
      <c r="C36" s="3">
        <v>-18.5</v>
      </c>
      <c r="D36" s="4">
        <v>-3</v>
      </c>
    </row>
    <row r="37" spans="1:4">
      <c r="A37" s="9">
        <v>35</v>
      </c>
      <c r="B37" s="8">
        <v>36</v>
      </c>
      <c r="C37" s="5">
        <v>-19</v>
      </c>
      <c r="D37" s="6">
        <v>-13.5</v>
      </c>
    </row>
    <row r="38" spans="1:4">
      <c r="A38" s="9">
        <v>38</v>
      </c>
      <c r="B38" s="7">
        <v>37</v>
      </c>
      <c r="C38" s="3">
        <v>-24</v>
      </c>
      <c r="D38" s="4">
        <v>8</v>
      </c>
    </row>
    <row r="39" spans="1:4">
      <c r="A39" s="9">
        <v>39</v>
      </c>
      <c r="B39" s="8">
        <v>38</v>
      </c>
      <c r="C39" s="5">
        <v>-25</v>
      </c>
      <c r="D39" s="6">
        <v>23</v>
      </c>
    </row>
    <row r="40" spans="1:4">
      <c r="A40" s="9">
        <v>40</v>
      </c>
      <c r="B40" s="7">
        <v>39</v>
      </c>
      <c r="C40" s="3">
        <v>-29.5</v>
      </c>
      <c r="D40" s="4">
        <v>6.5</v>
      </c>
    </row>
    <row r="41" spans="1:4">
      <c r="A41" s="9">
        <v>41</v>
      </c>
      <c r="B41" s="8">
        <v>40</v>
      </c>
      <c r="C41" s="5">
        <v>-30.5</v>
      </c>
      <c r="D41" s="6">
        <v>24.5</v>
      </c>
    </row>
    <row r="42" spans="1:4">
      <c r="A42" s="9">
        <v>42</v>
      </c>
      <c r="B42" s="7">
        <v>41</v>
      </c>
      <c r="C42" s="3">
        <v>-40</v>
      </c>
      <c r="D42" s="4">
        <v>5</v>
      </c>
    </row>
    <row r="43" spans="1:4">
      <c r="A43" s="9">
        <v>44</v>
      </c>
      <c r="B43" s="8">
        <v>42</v>
      </c>
      <c r="C43" s="5">
        <v>-50.5</v>
      </c>
      <c r="D43" s="6">
        <v>-1</v>
      </c>
    </row>
    <row r="44" spans="1:4">
      <c r="A44" s="9">
        <v>43</v>
      </c>
      <c r="B44" s="7">
        <v>43</v>
      </c>
      <c r="C44" s="3">
        <v>-52.5</v>
      </c>
      <c r="D44" s="4">
        <v>-32</v>
      </c>
    </row>
    <row r="45" spans="1:4">
      <c r="A45" s="9">
        <v>45</v>
      </c>
      <c r="B45" s="8">
        <v>44</v>
      </c>
      <c r="C45" s="5">
        <v>-54</v>
      </c>
      <c r="D45" s="6">
        <v>-10.5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27" workbookViewId="0">
      <selection activeCell="A2" sqref="A2:A45"/>
    </sheetView>
  </sheetViews>
  <sheetFormatPr defaultRowHeight="14.45"/>
  <cols>
    <col min="1" max="1" width="4.42578125" customWidth="1"/>
    <col min="2" max="2" width="9.140625" customWidth="1"/>
    <col min="3" max="3" width="6.7109375" bestFit="1" customWidth="1"/>
  </cols>
  <sheetData>
    <row r="1" spans="1:5">
      <c r="A1" t="s">
        <v>4</v>
      </c>
      <c r="B1" t="s">
        <v>5</v>
      </c>
      <c r="C1" t="s">
        <v>6</v>
      </c>
    </row>
    <row r="2" spans="1:5">
      <c r="A2">
        <v>1</v>
      </c>
      <c r="B2" s="2" t="s">
        <v>7</v>
      </c>
      <c r="C2" s="2" t="s">
        <v>8</v>
      </c>
      <c r="D2" s="1">
        <f>2*(60+antenna_coordinates_in_cm[[#This Row],[Column2]])</f>
        <v>227</v>
      </c>
      <c r="E2" s="1">
        <f>2*(60+antenna_coordinates_in_cm[[#This Row],[Column3]])</f>
        <v>214</v>
      </c>
    </row>
    <row r="3" spans="1:5">
      <c r="A3">
        <v>2</v>
      </c>
      <c r="B3" s="2" t="s">
        <v>9</v>
      </c>
      <c r="C3" s="2" t="s">
        <v>10</v>
      </c>
      <c r="D3" s="1">
        <f>2*(60+antenna_coordinates_in_cm[[#This Row],[Column2]])</f>
        <v>226</v>
      </c>
      <c r="E3" s="1">
        <f>2*(60+antenna_coordinates_in_cm[[#This Row],[Column3]])</f>
        <v>23</v>
      </c>
    </row>
    <row r="4" spans="1:5">
      <c r="A4">
        <v>3</v>
      </c>
      <c r="B4" s="2" t="s">
        <v>8</v>
      </c>
      <c r="C4" s="2" t="s">
        <v>11</v>
      </c>
      <c r="D4" s="1">
        <f>2*(60+antenna_coordinates_in_cm[[#This Row],[Column2]])</f>
        <v>214</v>
      </c>
      <c r="E4" s="1">
        <f>2*(60+antenna_coordinates_in_cm[[#This Row],[Column3]])</f>
        <v>83</v>
      </c>
    </row>
    <row r="5" spans="1:5">
      <c r="A5">
        <v>4</v>
      </c>
      <c r="B5" s="2" t="s">
        <v>12</v>
      </c>
      <c r="C5" s="2" t="s">
        <v>13</v>
      </c>
      <c r="D5" s="1">
        <f>2*(60+antenna_coordinates_in_cm[[#This Row],[Column2]])</f>
        <v>209</v>
      </c>
      <c r="E5" s="1">
        <f>2*(60+antenna_coordinates_in_cm[[#This Row],[Column3]])</f>
        <v>180</v>
      </c>
    </row>
    <row r="6" spans="1:5">
      <c r="A6">
        <v>5</v>
      </c>
      <c r="B6" s="2" t="s">
        <v>14</v>
      </c>
      <c r="C6" s="2" t="s">
        <v>15</v>
      </c>
      <c r="D6" s="1">
        <f>2*(60+antenna_coordinates_in_cm[[#This Row],[Column2]])</f>
        <v>205</v>
      </c>
      <c r="E6" s="1">
        <f>2*(60+antenna_coordinates_in_cm[[#This Row],[Column3]])</f>
        <v>223</v>
      </c>
    </row>
    <row r="7" spans="1:5">
      <c r="A7">
        <v>6</v>
      </c>
      <c r="B7" s="2" t="s">
        <v>14</v>
      </c>
      <c r="C7" s="2" t="s">
        <v>16</v>
      </c>
      <c r="D7" s="1">
        <f>2*(60+antenna_coordinates_in_cm[[#This Row],[Column2]])</f>
        <v>205</v>
      </c>
      <c r="E7" s="1">
        <f>2*(60+antenna_coordinates_in_cm[[#This Row],[Column3]])</f>
        <v>27</v>
      </c>
    </row>
    <row r="8" spans="1:5">
      <c r="A8">
        <v>7</v>
      </c>
      <c r="B8" s="2" t="s">
        <v>17</v>
      </c>
      <c r="C8" s="2" t="s">
        <v>18</v>
      </c>
      <c r="D8" s="1">
        <f>2*(60+antenna_coordinates_in_cm[[#This Row],[Column2]])</f>
        <v>201</v>
      </c>
      <c r="E8" s="1">
        <f>2*(60+antenna_coordinates_in_cm[[#This Row],[Column3]])</f>
        <v>189</v>
      </c>
    </row>
    <row r="9" spans="1:5">
      <c r="A9">
        <v>8</v>
      </c>
      <c r="B9" s="2" t="s">
        <v>19</v>
      </c>
      <c r="C9" s="2" t="s">
        <v>20</v>
      </c>
      <c r="D9" s="1">
        <f>2*(60+antenna_coordinates_in_cm[[#This Row],[Column2]])</f>
        <v>200</v>
      </c>
      <c r="E9" s="1">
        <f>2*(60+antenna_coordinates_in_cm[[#This Row],[Column3]])</f>
        <v>171</v>
      </c>
    </row>
    <row r="10" spans="1:5">
      <c r="A10">
        <v>9</v>
      </c>
      <c r="B10" s="2" t="s">
        <v>21</v>
      </c>
      <c r="C10" s="2" t="s">
        <v>22</v>
      </c>
      <c r="D10" s="1">
        <f>2*(60+antenna_coordinates_in_cm[[#This Row],[Column2]])</f>
        <v>195</v>
      </c>
      <c r="E10" s="1">
        <f>2*(60+antenna_coordinates_in_cm[[#This Row],[Column3]])</f>
        <v>151</v>
      </c>
    </row>
    <row r="11" spans="1:5">
      <c r="A11">
        <v>10</v>
      </c>
      <c r="B11" s="2" t="s">
        <v>23</v>
      </c>
      <c r="C11" s="2" t="s">
        <v>24</v>
      </c>
      <c r="D11" s="1">
        <f>2*(60+antenna_coordinates_in_cm[[#This Row],[Column2]])</f>
        <v>193</v>
      </c>
      <c r="E11" s="1">
        <f>2*(60+antenna_coordinates_in_cm[[#This Row],[Column3]])</f>
        <v>82</v>
      </c>
    </row>
    <row r="12" spans="1:5">
      <c r="A12">
        <v>11</v>
      </c>
      <c r="B12" s="2" t="s">
        <v>25</v>
      </c>
      <c r="C12" s="2" t="s">
        <v>26</v>
      </c>
      <c r="D12" s="1">
        <f>2*(60+antenna_coordinates_in_cm[[#This Row],[Column2]])</f>
        <v>192</v>
      </c>
      <c r="E12" s="1">
        <f>2*(60+antenna_coordinates_in_cm[[#This Row],[Column3]])</f>
        <v>163</v>
      </c>
    </row>
    <row r="13" spans="1:5">
      <c r="A13">
        <v>12</v>
      </c>
      <c r="B13" s="2" t="s">
        <v>27</v>
      </c>
      <c r="C13" s="2" t="s">
        <v>28</v>
      </c>
      <c r="D13" s="1">
        <f>2*(60+antenna_coordinates_in_cm[[#This Row],[Column2]])</f>
        <v>187</v>
      </c>
      <c r="E13" s="1">
        <f>2*(60+antenna_coordinates_in_cm[[#This Row],[Column3]])</f>
        <v>210</v>
      </c>
    </row>
    <row r="14" spans="1:5">
      <c r="A14">
        <v>13</v>
      </c>
      <c r="B14" s="2" t="s">
        <v>29</v>
      </c>
      <c r="C14" s="2" t="s">
        <v>30</v>
      </c>
      <c r="D14" s="1">
        <f>2*(60+antenna_coordinates_in_cm[[#This Row],[Column2]])</f>
        <v>185</v>
      </c>
      <c r="E14" s="1">
        <f>2*(60+antenna_coordinates_in_cm[[#This Row],[Column3]])</f>
        <v>197</v>
      </c>
    </row>
    <row r="15" spans="1:5">
      <c r="A15">
        <v>14</v>
      </c>
      <c r="B15" s="2" t="s">
        <v>31</v>
      </c>
      <c r="C15" s="2" t="s">
        <v>32</v>
      </c>
      <c r="D15" s="1">
        <f>2*(60+antenna_coordinates_in_cm[[#This Row],[Column2]])</f>
        <v>179</v>
      </c>
      <c r="E15" s="1">
        <f>2*(60+antenna_coordinates_in_cm[[#This Row],[Column3]])</f>
        <v>21</v>
      </c>
    </row>
    <row r="16" spans="1:5">
      <c r="A16">
        <v>15</v>
      </c>
      <c r="B16" s="2" t="s">
        <v>33</v>
      </c>
      <c r="C16" s="2" t="s">
        <v>34</v>
      </c>
      <c r="D16" s="1">
        <f>2*(60+antenna_coordinates_in_cm[[#This Row],[Column2]])</f>
        <v>177</v>
      </c>
      <c r="E16" s="1">
        <f>2*(60+antenna_coordinates_in_cm[[#This Row],[Column3]])</f>
        <v>161</v>
      </c>
    </row>
    <row r="17" spans="1:5">
      <c r="A17">
        <v>16</v>
      </c>
      <c r="B17" s="2" t="s">
        <v>33</v>
      </c>
      <c r="C17" s="2" t="s">
        <v>35</v>
      </c>
      <c r="D17" s="1">
        <f>2*(60+antenna_coordinates_in_cm[[#This Row],[Column2]])</f>
        <v>177</v>
      </c>
      <c r="E17" s="1">
        <f>2*(60+antenna_coordinates_in_cm[[#This Row],[Column3]])</f>
        <v>75</v>
      </c>
    </row>
    <row r="18" spans="1:5">
      <c r="A18">
        <v>17</v>
      </c>
      <c r="B18" s="2" t="s">
        <v>36</v>
      </c>
      <c r="C18" s="2" t="s">
        <v>37</v>
      </c>
      <c r="D18" s="1">
        <f>2*(60+antenna_coordinates_in_cm[[#This Row],[Column2]])</f>
        <v>173</v>
      </c>
      <c r="E18" s="1">
        <f>2*(60+antenna_coordinates_in_cm[[#This Row],[Column3]])</f>
        <v>32</v>
      </c>
    </row>
    <row r="19" spans="1:5">
      <c r="A19">
        <v>18</v>
      </c>
      <c r="B19" s="2" t="s">
        <v>38</v>
      </c>
      <c r="C19" s="2" t="s">
        <v>39</v>
      </c>
      <c r="D19" s="1">
        <f>2*(60+antenna_coordinates_in_cm[[#This Row],[Column2]])</f>
        <v>165</v>
      </c>
      <c r="E19" s="1">
        <f>2*(60+antenna_coordinates_in_cm[[#This Row],[Column3]])</f>
        <v>50</v>
      </c>
    </row>
    <row r="20" spans="1:5">
      <c r="A20">
        <v>19</v>
      </c>
      <c r="B20" s="2" t="s">
        <v>26</v>
      </c>
      <c r="C20" s="2" t="s">
        <v>40</v>
      </c>
      <c r="D20" s="1">
        <f>2*(60+antenna_coordinates_in_cm[[#This Row],[Column2]])</f>
        <v>163</v>
      </c>
      <c r="E20" s="1">
        <f>2*(60+antenna_coordinates_in_cm[[#This Row],[Column3]])</f>
        <v>154</v>
      </c>
    </row>
    <row r="21" spans="1:5">
      <c r="A21">
        <v>20</v>
      </c>
      <c r="B21" s="2" t="s">
        <v>40</v>
      </c>
      <c r="C21" s="2" t="s">
        <v>41</v>
      </c>
      <c r="D21" s="1">
        <f>2*(60+antenna_coordinates_in_cm[[#This Row],[Column2]])</f>
        <v>154</v>
      </c>
      <c r="E21" s="1">
        <f>2*(60+antenna_coordinates_in_cm[[#This Row],[Column3]])</f>
        <v>67</v>
      </c>
    </row>
    <row r="22" spans="1:5">
      <c r="A22">
        <v>21</v>
      </c>
      <c r="B22" s="2" t="s">
        <v>42</v>
      </c>
      <c r="C22" s="2" t="s">
        <v>43</v>
      </c>
      <c r="D22" s="1">
        <f>2*(60+antenna_coordinates_in_cm[[#This Row],[Column2]])</f>
        <v>147</v>
      </c>
      <c r="E22" s="1">
        <f>2*(60+antenna_coordinates_in_cm[[#This Row],[Column3]])</f>
        <v>133</v>
      </c>
    </row>
    <row r="23" spans="1:5">
      <c r="A23">
        <v>22</v>
      </c>
      <c r="B23" s="2" t="s">
        <v>42</v>
      </c>
      <c r="C23" s="2" t="s">
        <v>44</v>
      </c>
      <c r="D23" s="1">
        <f>2*(60+antenna_coordinates_in_cm[[#This Row],[Column2]])</f>
        <v>147</v>
      </c>
      <c r="E23" s="1">
        <f>2*(60+antenna_coordinates_in_cm[[#This Row],[Column3]])</f>
        <v>90</v>
      </c>
    </row>
    <row r="24" spans="1:5">
      <c r="A24">
        <v>23</v>
      </c>
      <c r="B24" s="2" t="s">
        <v>45</v>
      </c>
      <c r="C24" s="2" t="s">
        <v>46</v>
      </c>
      <c r="D24" s="1">
        <f>2*(60+antenna_coordinates_in_cm[[#This Row],[Column2]])</f>
        <v>142</v>
      </c>
      <c r="E24" s="1">
        <f>2*(60+antenna_coordinates_in_cm[[#This Row],[Column3]])</f>
        <v>106</v>
      </c>
    </row>
    <row r="25" spans="1:5">
      <c r="A25">
        <v>24</v>
      </c>
      <c r="B25" s="2" t="s">
        <v>47</v>
      </c>
      <c r="C25" s="2" t="s">
        <v>48</v>
      </c>
      <c r="D25" s="1">
        <f>2*(60+antenna_coordinates_in_cm[[#This Row],[Column2]])</f>
        <v>127</v>
      </c>
      <c r="E25" s="1">
        <f>2*(60+antenna_coordinates_in_cm[[#This Row],[Column3]])</f>
        <v>140</v>
      </c>
    </row>
    <row r="26" spans="1:5">
      <c r="A26">
        <v>25</v>
      </c>
      <c r="B26" s="2" t="s">
        <v>49</v>
      </c>
      <c r="C26" s="2" t="s">
        <v>50</v>
      </c>
      <c r="D26" s="1">
        <f>2*(60+antenna_coordinates_in_cm[[#This Row],[Column2]])</f>
        <v>125</v>
      </c>
      <c r="E26" s="1">
        <f>2*(60+antenna_coordinates_in_cm[[#This Row],[Column3]])</f>
        <v>95</v>
      </c>
    </row>
    <row r="27" spans="1:5">
      <c r="A27">
        <v>26</v>
      </c>
      <c r="B27" s="2" t="s">
        <v>51</v>
      </c>
      <c r="C27" s="2" t="s">
        <v>52</v>
      </c>
      <c r="D27" s="1">
        <f>2*(60+antenna_coordinates_in_cm[[#This Row],[Column2]])</f>
        <v>123</v>
      </c>
      <c r="E27" s="1">
        <f>2*(60+antenna_coordinates_in_cm[[#This Row],[Column3]])</f>
        <v>118</v>
      </c>
    </row>
    <row r="28" spans="1:5">
      <c r="A28">
        <v>27</v>
      </c>
      <c r="B28" s="2" t="s">
        <v>53</v>
      </c>
      <c r="C28" s="2" t="s">
        <v>54</v>
      </c>
      <c r="D28" s="1">
        <f>2*(60+antenna_coordinates_in_cm[[#This Row],[Column2]])</f>
        <v>122</v>
      </c>
      <c r="E28" s="1">
        <f>2*(60+antenna_coordinates_in_cm[[#This Row],[Column3]])</f>
        <v>85</v>
      </c>
    </row>
    <row r="29" spans="1:5">
      <c r="A29">
        <v>28</v>
      </c>
      <c r="B29" s="2" t="s">
        <v>55</v>
      </c>
      <c r="C29" s="2" t="s">
        <v>56</v>
      </c>
      <c r="D29" s="1">
        <f>2*(60+antenna_coordinates_in_cm[[#This Row],[Column2]])</f>
        <v>110</v>
      </c>
      <c r="E29" s="1">
        <f>2*(60+antenna_coordinates_in_cm[[#This Row],[Column3]])</f>
        <v>77</v>
      </c>
    </row>
    <row r="30" spans="1:5">
      <c r="A30">
        <v>29</v>
      </c>
      <c r="B30" s="2" t="s">
        <v>57</v>
      </c>
      <c r="C30" s="2" t="s">
        <v>58</v>
      </c>
      <c r="D30" s="1">
        <f>2*(60+antenna_coordinates_in_cm[[#This Row],[Column2]])</f>
        <v>109</v>
      </c>
      <c r="E30" s="1">
        <f>2*(60+antenna_coordinates_in_cm[[#This Row],[Column3]])</f>
        <v>98</v>
      </c>
    </row>
    <row r="31" spans="1:5">
      <c r="A31">
        <v>30</v>
      </c>
      <c r="B31" s="2" t="s">
        <v>59</v>
      </c>
      <c r="C31" s="2" t="s">
        <v>45</v>
      </c>
      <c r="D31" s="1">
        <f>2*(60+antenna_coordinates_in_cm[[#This Row],[Column2]])</f>
        <v>101</v>
      </c>
      <c r="E31" s="1">
        <f>2*(60+antenna_coordinates_in_cm[[#This Row],[Column3]])</f>
        <v>142</v>
      </c>
    </row>
    <row r="32" spans="1:5">
      <c r="A32">
        <v>31</v>
      </c>
      <c r="B32" s="2" t="s">
        <v>60</v>
      </c>
      <c r="C32" s="2" t="s">
        <v>46</v>
      </c>
      <c r="D32" s="1">
        <f>2*(60+antenna_coordinates_in_cm[[#This Row],[Column2]])</f>
        <v>96</v>
      </c>
      <c r="E32" s="1">
        <f>2*(60+antenna_coordinates_in_cm[[#This Row],[Column3]])</f>
        <v>106</v>
      </c>
    </row>
    <row r="33" spans="1:5">
      <c r="A33">
        <v>32</v>
      </c>
      <c r="B33" s="2" t="s">
        <v>44</v>
      </c>
      <c r="C33" s="2" t="s">
        <v>61</v>
      </c>
      <c r="D33" s="1">
        <f>2*(60+antenna_coordinates_in_cm[[#This Row],[Column2]])</f>
        <v>90</v>
      </c>
      <c r="E33" s="1">
        <f>2*(60+antenna_coordinates_in_cm[[#This Row],[Column3]])</f>
        <v>126</v>
      </c>
    </row>
    <row r="34" spans="1:5">
      <c r="A34">
        <v>33</v>
      </c>
      <c r="B34" s="2" t="s">
        <v>62</v>
      </c>
      <c r="C34" s="2" t="s">
        <v>63</v>
      </c>
      <c r="D34" s="1">
        <f>2*(60+antenna_coordinates_in_cm[[#This Row],[Column2]])</f>
        <v>88</v>
      </c>
      <c r="E34" s="1">
        <f>2*(60+antenna_coordinates_in_cm[[#This Row],[Column3]])</f>
        <v>159</v>
      </c>
    </row>
    <row r="35" spans="1:5">
      <c r="A35">
        <v>34</v>
      </c>
      <c r="B35" s="2" t="s">
        <v>64</v>
      </c>
      <c r="C35" s="2" t="s">
        <v>54</v>
      </c>
      <c r="D35" s="1">
        <f>2*(60+antenna_coordinates_in_cm[[#This Row],[Column2]])</f>
        <v>87</v>
      </c>
      <c r="E35" s="1">
        <f>2*(60+antenna_coordinates_in_cm[[#This Row],[Column3]])</f>
        <v>85</v>
      </c>
    </row>
    <row r="36" spans="1:5">
      <c r="A36">
        <v>35</v>
      </c>
      <c r="B36" s="2" t="s">
        <v>11</v>
      </c>
      <c r="C36" s="2" t="s">
        <v>65</v>
      </c>
      <c r="D36" s="1">
        <f>2*(60+antenna_coordinates_in_cm[[#This Row],[Column2]])</f>
        <v>83</v>
      </c>
      <c r="E36" s="1">
        <f>2*(60+antenna_coordinates_in_cm[[#This Row],[Column3]])</f>
        <v>114</v>
      </c>
    </row>
    <row r="37" spans="1:5">
      <c r="A37">
        <v>36</v>
      </c>
      <c r="B37" s="2" t="s">
        <v>24</v>
      </c>
      <c r="C37" s="2" t="s">
        <v>66</v>
      </c>
      <c r="D37" s="1">
        <f>2*(60+antenna_coordinates_in_cm[[#This Row],[Column2]])</f>
        <v>82</v>
      </c>
      <c r="E37" s="1">
        <f>2*(60+antenna_coordinates_in_cm[[#This Row],[Column3]])</f>
        <v>93</v>
      </c>
    </row>
    <row r="38" spans="1:5">
      <c r="A38">
        <v>37</v>
      </c>
      <c r="B38" s="2" t="s">
        <v>67</v>
      </c>
      <c r="C38" s="2" t="s">
        <v>68</v>
      </c>
      <c r="D38" s="1">
        <f>2*(60+antenna_coordinates_in_cm[[#This Row],[Column2]])</f>
        <v>72</v>
      </c>
      <c r="E38" s="1">
        <f>2*(60+antenna_coordinates_in_cm[[#This Row],[Column3]])</f>
        <v>136</v>
      </c>
    </row>
    <row r="39" spans="1:5">
      <c r="A39">
        <v>38</v>
      </c>
      <c r="B39" s="2" t="s">
        <v>69</v>
      </c>
      <c r="C39" s="2" t="s">
        <v>70</v>
      </c>
      <c r="D39" s="1">
        <f>2*(60+antenna_coordinates_in_cm[[#This Row],[Column2]])</f>
        <v>70</v>
      </c>
      <c r="E39" s="1">
        <f>2*(60+antenna_coordinates_in_cm[[#This Row],[Column3]])</f>
        <v>166</v>
      </c>
    </row>
    <row r="40" spans="1:5">
      <c r="A40">
        <v>39</v>
      </c>
      <c r="B40" s="2" t="s">
        <v>71</v>
      </c>
      <c r="C40" s="2" t="s">
        <v>43</v>
      </c>
      <c r="D40" s="1">
        <f>2*(60+antenna_coordinates_in_cm[[#This Row],[Column2]])</f>
        <v>61</v>
      </c>
      <c r="E40" s="1">
        <f>2*(60+antenna_coordinates_in_cm[[#This Row],[Column3]])</f>
        <v>133</v>
      </c>
    </row>
    <row r="41" spans="1:5">
      <c r="A41">
        <v>40</v>
      </c>
      <c r="B41" s="2" t="s">
        <v>72</v>
      </c>
      <c r="C41" s="2" t="s">
        <v>73</v>
      </c>
      <c r="D41" s="1">
        <f>2*(60+antenna_coordinates_in_cm[[#This Row],[Column2]])</f>
        <v>59</v>
      </c>
      <c r="E41" s="1">
        <f>2*(60+antenna_coordinates_in_cm[[#This Row],[Column3]])</f>
        <v>169</v>
      </c>
    </row>
    <row r="42" spans="1:5">
      <c r="A42">
        <v>41</v>
      </c>
      <c r="B42" s="2" t="s">
        <v>74</v>
      </c>
      <c r="C42" s="2" t="s">
        <v>75</v>
      </c>
      <c r="D42" s="1">
        <f>2*(60+antenna_coordinates_in_cm[[#This Row],[Column2]])</f>
        <v>40</v>
      </c>
      <c r="E42" s="1">
        <f>2*(60+antenna_coordinates_in_cm[[#This Row],[Column3]])</f>
        <v>130</v>
      </c>
    </row>
    <row r="43" spans="1:5">
      <c r="A43">
        <v>42</v>
      </c>
      <c r="B43" s="2" t="s">
        <v>76</v>
      </c>
      <c r="C43" s="2" t="s">
        <v>52</v>
      </c>
      <c r="D43" s="1">
        <f>2*(60+antenna_coordinates_in_cm[[#This Row],[Column2]])</f>
        <v>19</v>
      </c>
      <c r="E43" s="1">
        <f>2*(60+antenna_coordinates_in_cm[[#This Row],[Column3]])</f>
        <v>118</v>
      </c>
    </row>
    <row r="44" spans="1:5">
      <c r="A44">
        <v>43</v>
      </c>
      <c r="B44" s="2" t="s">
        <v>77</v>
      </c>
      <c r="C44" s="2" t="s">
        <v>78</v>
      </c>
      <c r="D44" s="1">
        <f>2*(60+antenna_coordinates_in_cm[[#This Row],[Column2]])</f>
        <v>15</v>
      </c>
      <c r="E44" s="1">
        <f>2*(60+antenna_coordinates_in_cm[[#This Row],[Column3]])</f>
        <v>56</v>
      </c>
    </row>
    <row r="45" spans="1:5">
      <c r="A45">
        <v>44</v>
      </c>
      <c r="B45" s="2" t="s">
        <v>79</v>
      </c>
      <c r="C45" s="2" t="s">
        <v>80</v>
      </c>
      <c r="D45" s="1">
        <f>2*(60+antenna_coordinates_in_cm[[#This Row],[Column2]])</f>
        <v>12</v>
      </c>
      <c r="E45" s="1">
        <f>2*(60+antenna_coordinates_in_cm[[#This Row],[Column3]])</f>
        <v>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workbookViewId="0">
      <selection activeCell="C1" sqref="C1"/>
    </sheetView>
  </sheetViews>
  <sheetFormatPr defaultRowHeight="14.45"/>
  <sheetData>
    <row r="1" spans="1:1">
      <c r="A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7C43F2-54DC-4C60-ACCC-889D2A4A3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Cumming</dc:creator>
  <cp:keywords/>
  <dc:description/>
  <cp:lastModifiedBy>Siddharth Kumar</cp:lastModifiedBy>
  <cp:revision/>
  <dcterms:created xsi:type="dcterms:W3CDTF">2025-03-19T13:03:27Z</dcterms:created>
  <dcterms:modified xsi:type="dcterms:W3CDTF">2025-03-19T13:03:27Z</dcterms:modified>
  <cp:category/>
  <cp:contentStatus/>
</cp:coreProperties>
</file>