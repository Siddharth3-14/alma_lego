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marsid/Documents/Current Projects/Alma/"/>
    </mc:Choice>
  </mc:AlternateContent>
  <xr:revisionPtr revIDLastSave="0" documentId="13_ncr:1_{AB39D2A6-E01C-1147-ACF2-17C06625F64E}" xr6:coauthVersionLast="47" xr6:coauthVersionMax="47" xr10:uidLastSave="{00000000-0000-0000-0000-000000000000}"/>
  <bookViews>
    <workbookView xWindow="0" yWindow="740" windowWidth="30240" windowHeight="18900" xr2:uid="{014E4DCA-29B4-664C-9046-D5583B6A00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B38" i="1"/>
  <c r="C8" i="1"/>
  <c r="B8" i="1"/>
  <c r="B3" i="1"/>
  <c r="C3" i="1"/>
  <c r="B7" i="1"/>
  <c r="C7" i="1"/>
  <c r="B15" i="1"/>
  <c r="C15" i="1"/>
  <c r="C33" i="1"/>
  <c r="B33" i="1"/>
  <c r="C16" i="1"/>
  <c r="C6" i="1"/>
  <c r="C19" i="1"/>
  <c r="C20" i="1"/>
  <c r="C21" i="1"/>
  <c r="C17" i="1"/>
  <c r="C12" i="1"/>
  <c r="C4" i="1"/>
  <c r="C22" i="1"/>
  <c r="C23" i="1"/>
  <c r="C26" i="1"/>
  <c r="C25" i="1"/>
  <c r="C29" i="1"/>
  <c r="C35" i="1"/>
  <c r="C43" i="1"/>
  <c r="C45" i="1"/>
  <c r="C44" i="1"/>
  <c r="C42" i="1"/>
  <c r="C32" i="1"/>
  <c r="C40" i="1"/>
  <c r="C41" i="1"/>
  <c r="C39" i="1"/>
  <c r="C37" i="1"/>
  <c r="C31" i="1"/>
  <c r="C34" i="1"/>
  <c r="C36" i="1"/>
  <c r="C30" i="1"/>
  <c r="C27" i="1"/>
  <c r="C28" i="1"/>
  <c r="C24" i="1"/>
  <c r="C46" i="1"/>
  <c r="C10" i="1"/>
  <c r="C11" i="1"/>
  <c r="C18" i="1"/>
  <c r="C13" i="1"/>
  <c r="C9" i="1"/>
  <c r="C5" i="1"/>
  <c r="C14" i="1"/>
  <c r="B16" i="1"/>
  <c r="B6" i="1"/>
  <c r="B19" i="1"/>
  <c r="B20" i="1"/>
  <c r="B21" i="1"/>
  <c r="B17" i="1"/>
  <c r="B12" i="1"/>
  <c r="B4" i="1"/>
  <c r="B22" i="1"/>
  <c r="B23" i="1"/>
  <c r="B26" i="1"/>
  <c r="B25" i="1"/>
  <c r="B29" i="1"/>
  <c r="B35" i="1"/>
  <c r="B43" i="1"/>
  <c r="B45" i="1"/>
  <c r="B44" i="1"/>
  <c r="B42" i="1"/>
  <c r="B32" i="1"/>
  <c r="B40" i="1"/>
  <c r="B41" i="1"/>
  <c r="B39" i="1"/>
  <c r="B37" i="1"/>
  <c r="B31" i="1"/>
  <c r="B34" i="1"/>
  <c r="B36" i="1"/>
  <c r="B30" i="1"/>
  <c r="B27" i="1"/>
  <c r="B28" i="1"/>
  <c r="B24" i="1"/>
  <c r="B46" i="1"/>
  <c r="B10" i="1"/>
  <c r="B11" i="1"/>
  <c r="B18" i="1"/>
  <c r="B13" i="1"/>
  <c r="B9" i="1"/>
  <c r="B5" i="1"/>
  <c r="B14" i="1"/>
  <c r="C2" i="1"/>
  <c r="B2" i="1"/>
</calcChain>
</file>

<file path=xl/sharedStrings.xml><?xml version="1.0" encoding="utf-8"?>
<sst xmlns="http://schemas.openxmlformats.org/spreadsheetml/2006/main" count="7" uniqueCount="7">
  <si>
    <t>Total length x  = 115</t>
  </si>
  <si>
    <t>Total length y  = 115</t>
  </si>
  <si>
    <t>Serial number position</t>
  </si>
  <si>
    <t>X (cm)</t>
  </si>
  <si>
    <t>Y (cm)</t>
  </si>
  <si>
    <t>X (raw)</t>
  </si>
  <si>
    <t>Y (raw)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</si>
</sst>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A16B-2559-644D-A3F1-CD17CE86AA06}">
  <dimension ref="A1:H46"/>
  <sheetViews>
    <sheetView tabSelected="1" zoomScale="200" zoomScaleNormal="200" workbookViewId="0">
      <selection activeCell="A2" sqref="A2"/>
    </sheetView>
  </sheetViews>
  <sheetFormatPr baseColWidth="10" defaultRowHeight="16" x14ac:dyDescent="0.2"/>
  <cols>
    <col min="1" max="1" width="19.83203125" customWidth="1"/>
    <col min="8" max="8" width="47" customWidth="1"/>
  </cols>
  <sheetData>
    <row r="1" spans="1:8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H1" t="s">
        <v>0</v>
      </c>
    </row>
    <row r="2" spans="1:8" x14ac:dyDescent="0.2">
      <c r="A2">
        <v>1</v>
      </c>
      <c r="B2">
        <f>D2-115/2</f>
        <v>-53.5</v>
      </c>
      <c r="C2">
        <f>115/2-E2</f>
        <v>-61.5</v>
      </c>
      <c r="D2">
        <v>4</v>
      </c>
      <c r="E2">
        <v>119</v>
      </c>
      <c r="F2">
        <v>1</v>
      </c>
      <c r="H2" t="s">
        <v>1</v>
      </c>
    </row>
    <row r="3" spans="1:8" x14ac:dyDescent="0.2">
      <c r="A3">
        <v>2</v>
      </c>
      <c r="B3">
        <f>D3-115/2</f>
        <v>-54.5</v>
      </c>
      <c r="C3">
        <f>115/2-E3</f>
        <v>44.5</v>
      </c>
      <c r="D3">
        <v>3</v>
      </c>
      <c r="E3">
        <v>13</v>
      </c>
      <c r="F3">
        <v>2</v>
      </c>
    </row>
    <row r="4" spans="1:8" x14ac:dyDescent="0.2">
      <c r="A4">
        <v>3</v>
      </c>
      <c r="B4">
        <f>D4-115/2</f>
        <v>-47</v>
      </c>
      <c r="C4">
        <f>115/2-E4</f>
        <v>-21</v>
      </c>
      <c r="D4">
        <v>10.5</v>
      </c>
      <c r="E4">
        <v>78.5</v>
      </c>
      <c r="F4">
        <v>3</v>
      </c>
    </row>
    <row r="5" spans="1:8" x14ac:dyDescent="0.2">
      <c r="A5">
        <v>4</v>
      </c>
      <c r="B5">
        <f>D5-115/2</f>
        <v>-44.7</v>
      </c>
      <c r="C5">
        <f>115/2-E5</f>
        <v>27.5</v>
      </c>
      <c r="D5">
        <v>12.8</v>
      </c>
      <c r="E5">
        <v>30</v>
      </c>
      <c r="F5">
        <v>4</v>
      </c>
    </row>
    <row r="6" spans="1:8" x14ac:dyDescent="0.2">
      <c r="A6">
        <v>5</v>
      </c>
      <c r="B6">
        <f>D6-115/2</f>
        <v>-43</v>
      </c>
      <c r="C6">
        <f>115/2-E6</f>
        <v>-59</v>
      </c>
      <c r="D6">
        <v>14.5</v>
      </c>
      <c r="E6">
        <v>116.5</v>
      </c>
      <c r="F6">
        <v>5</v>
      </c>
    </row>
    <row r="7" spans="1:8" x14ac:dyDescent="0.2">
      <c r="A7">
        <v>6</v>
      </c>
      <c r="B7">
        <f>D7-115/2</f>
        <v>-42</v>
      </c>
      <c r="C7">
        <f>115/2-E7</f>
        <v>49</v>
      </c>
      <c r="D7">
        <v>15.5</v>
      </c>
      <c r="E7">
        <v>8.5</v>
      </c>
      <c r="F7">
        <v>6</v>
      </c>
    </row>
    <row r="8" spans="1:8" x14ac:dyDescent="0.2">
      <c r="A8">
        <v>7</v>
      </c>
      <c r="B8">
        <f>D8-115/2</f>
        <v>-41</v>
      </c>
      <c r="C8">
        <f>115/2-E8</f>
        <v>31.5</v>
      </c>
      <c r="D8">
        <v>16.5</v>
      </c>
      <c r="E8">
        <v>26</v>
      </c>
      <c r="F8">
        <v>7</v>
      </c>
    </row>
    <row r="9" spans="1:8" x14ac:dyDescent="0.2">
      <c r="A9">
        <v>8</v>
      </c>
      <c r="B9">
        <f>D9-115/2</f>
        <v>-39.799999999999997</v>
      </c>
      <c r="C9">
        <f>115/2-E9</f>
        <v>22.9</v>
      </c>
      <c r="D9">
        <v>17.7</v>
      </c>
      <c r="E9">
        <v>34.6</v>
      </c>
      <c r="F9">
        <v>8</v>
      </c>
    </row>
    <row r="10" spans="1:8" x14ac:dyDescent="0.2">
      <c r="A10">
        <v>9</v>
      </c>
      <c r="B10">
        <f>D10-115/2</f>
        <v>-40.5</v>
      </c>
      <c r="C10">
        <f>115/2-E10</f>
        <v>9</v>
      </c>
      <c r="D10">
        <v>17</v>
      </c>
      <c r="E10">
        <v>48.5</v>
      </c>
      <c r="F10">
        <v>9</v>
      </c>
    </row>
    <row r="11" spans="1:8" x14ac:dyDescent="0.2">
      <c r="A11">
        <v>10</v>
      </c>
      <c r="B11">
        <f>D11-115/2</f>
        <v>-37.299999999999997</v>
      </c>
      <c r="C11">
        <f>115/2-E11</f>
        <v>13</v>
      </c>
      <c r="D11">
        <v>20.2</v>
      </c>
      <c r="E11">
        <v>44.5</v>
      </c>
      <c r="F11">
        <v>10</v>
      </c>
    </row>
    <row r="12" spans="1:8" x14ac:dyDescent="0.2">
      <c r="A12">
        <v>11</v>
      </c>
      <c r="B12">
        <f>D12-115/2</f>
        <v>-37</v>
      </c>
      <c r="C12">
        <f>115/2-E12</f>
        <v>-21.700000000000003</v>
      </c>
      <c r="D12">
        <v>20.5</v>
      </c>
      <c r="E12">
        <v>79.2</v>
      </c>
      <c r="F12">
        <v>11</v>
      </c>
    </row>
    <row r="13" spans="1:8" x14ac:dyDescent="0.2">
      <c r="A13">
        <v>12</v>
      </c>
      <c r="B13">
        <f>D13-115/2</f>
        <v>-36</v>
      </c>
      <c r="C13">
        <f>115/2-E13</f>
        <v>19</v>
      </c>
      <c r="D13">
        <v>21.5</v>
      </c>
      <c r="E13">
        <v>38.5</v>
      </c>
      <c r="F13">
        <v>12</v>
      </c>
    </row>
    <row r="14" spans="1:8" x14ac:dyDescent="0.2">
      <c r="A14">
        <v>13</v>
      </c>
      <c r="B14">
        <f>D14-115/2</f>
        <v>-33</v>
      </c>
      <c r="C14">
        <f>115/2-E14</f>
        <v>36</v>
      </c>
      <c r="D14">
        <v>24.5</v>
      </c>
      <c r="E14">
        <v>21.5</v>
      </c>
      <c r="F14">
        <v>13</v>
      </c>
    </row>
    <row r="15" spans="1:8" x14ac:dyDescent="0.2">
      <c r="A15">
        <v>14</v>
      </c>
      <c r="B15">
        <f>D15-115/2</f>
        <v>-34</v>
      </c>
      <c r="C15">
        <f>115/2-E15</f>
        <v>42.5</v>
      </c>
      <c r="D15">
        <v>23.5</v>
      </c>
      <c r="E15">
        <v>15</v>
      </c>
      <c r="F15">
        <v>14</v>
      </c>
    </row>
    <row r="16" spans="1:8" x14ac:dyDescent="0.2">
      <c r="A16">
        <v>15</v>
      </c>
      <c r="B16">
        <f>D16-115/2</f>
        <v>-29.5</v>
      </c>
      <c r="C16">
        <f>115/2-E16</f>
        <v>-52.5</v>
      </c>
      <c r="D16">
        <v>28</v>
      </c>
      <c r="E16">
        <v>110</v>
      </c>
      <c r="F16">
        <v>15</v>
      </c>
    </row>
    <row r="17" spans="1:6" x14ac:dyDescent="0.2">
      <c r="A17">
        <v>16</v>
      </c>
      <c r="B17">
        <f>D17-115/2</f>
        <v>-29</v>
      </c>
      <c r="C17">
        <f>115/2-E17</f>
        <v>-25.200000000000003</v>
      </c>
      <c r="D17">
        <v>28.5</v>
      </c>
      <c r="E17">
        <v>82.7</v>
      </c>
      <c r="F17">
        <v>16</v>
      </c>
    </row>
    <row r="18" spans="1:6" x14ac:dyDescent="0.2">
      <c r="A18">
        <v>17</v>
      </c>
      <c r="B18">
        <f>D18-115/2</f>
        <v>-28.5</v>
      </c>
      <c r="C18">
        <f>115/2-E18</f>
        <v>17.799999999999997</v>
      </c>
      <c r="D18">
        <v>29</v>
      </c>
      <c r="E18">
        <v>39.700000000000003</v>
      </c>
      <c r="F18">
        <v>17</v>
      </c>
    </row>
    <row r="19" spans="1:6" x14ac:dyDescent="0.2">
      <c r="A19">
        <v>18</v>
      </c>
      <c r="B19">
        <f>D19-115/2</f>
        <v>-26.8</v>
      </c>
      <c r="C19">
        <f>115/2-E19</f>
        <v>-46.5</v>
      </c>
      <c r="D19">
        <v>30.7</v>
      </c>
      <c r="E19">
        <v>104</v>
      </c>
      <c r="F19">
        <v>18</v>
      </c>
    </row>
    <row r="20" spans="1:6" x14ac:dyDescent="0.2">
      <c r="A20">
        <v>19</v>
      </c>
      <c r="B20">
        <f>D20-115/2</f>
        <v>-22.700000000000003</v>
      </c>
      <c r="C20">
        <f>115/2-E20</f>
        <v>-37.5</v>
      </c>
      <c r="D20">
        <v>34.799999999999997</v>
      </c>
      <c r="E20">
        <v>95</v>
      </c>
      <c r="F20">
        <v>19</v>
      </c>
    </row>
    <row r="21" spans="1:6" x14ac:dyDescent="0.2">
      <c r="A21">
        <v>20</v>
      </c>
      <c r="B21">
        <f>D21-115/2</f>
        <v>-16.5</v>
      </c>
      <c r="C21">
        <f>115/2-E21</f>
        <v>-29.299999999999997</v>
      </c>
      <c r="D21">
        <v>41</v>
      </c>
      <c r="E21">
        <v>86.8</v>
      </c>
      <c r="F21">
        <v>20</v>
      </c>
    </row>
    <row r="22" spans="1:6" x14ac:dyDescent="0.2">
      <c r="A22">
        <v>21</v>
      </c>
      <c r="B22">
        <f>D22-115/2</f>
        <v>-13.700000000000003</v>
      </c>
      <c r="C22">
        <f>115/2-E22</f>
        <v>-17.700000000000003</v>
      </c>
      <c r="D22">
        <v>43.8</v>
      </c>
      <c r="E22">
        <v>75.2</v>
      </c>
      <c r="F22">
        <v>21</v>
      </c>
    </row>
    <row r="23" spans="1:6" x14ac:dyDescent="0.2">
      <c r="A23">
        <v>22</v>
      </c>
      <c r="B23">
        <f>D23-115/2</f>
        <v>-11.100000000000001</v>
      </c>
      <c r="C23">
        <f>115/2-E23</f>
        <v>-9.7000000000000028</v>
      </c>
      <c r="D23">
        <v>46.4</v>
      </c>
      <c r="E23">
        <v>67.2</v>
      </c>
      <c r="F23">
        <v>22</v>
      </c>
    </row>
    <row r="24" spans="1:6" x14ac:dyDescent="0.2">
      <c r="A24">
        <v>23</v>
      </c>
      <c r="B24">
        <f>D24-115/2</f>
        <v>-13.5</v>
      </c>
      <c r="C24">
        <f>115/2-E24</f>
        <v>3.7000000000000028</v>
      </c>
      <c r="D24">
        <v>44</v>
      </c>
      <c r="E24">
        <v>53.8</v>
      </c>
      <c r="F24">
        <v>23</v>
      </c>
    </row>
    <row r="25" spans="1:6" x14ac:dyDescent="0.2">
      <c r="A25">
        <v>24</v>
      </c>
      <c r="B25">
        <f>D25-115/2</f>
        <v>-1.2999999999999972</v>
      </c>
      <c r="C25">
        <f>115/2-E25</f>
        <v>-23</v>
      </c>
      <c r="D25">
        <v>56.2</v>
      </c>
      <c r="E25">
        <v>80.5</v>
      </c>
      <c r="F25">
        <v>24</v>
      </c>
    </row>
    <row r="26" spans="1:6" x14ac:dyDescent="0.2">
      <c r="A26">
        <v>25</v>
      </c>
      <c r="B26">
        <f>D26-115/2</f>
        <v>-2.5</v>
      </c>
      <c r="C26">
        <f>115/2-E26</f>
        <v>-18</v>
      </c>
      <c r="D26">
        <v>55</v>
      </c>
      <c r="E26">
        <v>75.5</v>
      </c>
      <c r="F26">
        <v>25</v>
      </c>
    </row>
    <row r="27" spans="1:6" x14ac:dyDescent="0.2">
      <c r="A27">
        <v>26</v>
      </c>
      <c r="B27">
        <f>D27-115/2</f>
        <v>-1.5</v>
      </c>
      <c r="C27">
        <f>115/2-E27</f>
        <v>-3.5</v>
      </c>
      <c r="D27">
        <v>56</v>
      </c>
      <c r="E27">
        <v>61</v>
      </c>
      <c r="F27">
        <v>26</v>
      </c>
    </row>
    <row r="28" spans="1:6" x14ac:dyDescent="0.2">
      <c r="A28">
        <v>27</v>
      </c>
      <c r="B28">
        <f>D28-115/2</f>
        <v>-3.5</v>
      </c>
      <c r="C28">
        <f>115/2-E28</f>
        <v>7.2999999999999972</v>
      </c>
      <c r="D28">
        <v>54</v>
      </c>
      <c r="E28">
        <v>50.2</v>
      </c>
      <c r="F28">
        <v>27</v>
      </c>
    </row>
    <row r="29" spans="1:6" x14ac:dyDescent="0.2">
      <c r="A29">
        <v>28</v>
      </c>
      <c r="B29">
        <f>D29-115/2</f>
        <v>5</v>
      </c>
      <c r="C29">
        <f>115/2-E29</f>
        <v>-24.5</v>
      </c>
      <c r="D29">
        <v>62.5</v>
      </c>
      <c r="E29">
        <v>82</v>
      </c>
      <c r="F29">
        <v>28</v>
      </c>
    </row>
    <row r="30" spans="1:6" x14ac:dyDescent="0.2">
      <c r="A30">
        <v>29</v>
      </c>
      <c r="B30">
        <f>D30-115/2</f>
        <v>5.5</v>
      </c>
      <c r="C30">
        <f>115/2-E30</f>
        <v>-15.299999999999997</v>
      </c>
      <c r="D30">
        <v>63</v>
      </c>
      <c r="E30">
        <v>72.8</v>
      </c>
      <c r="F30">
        <v>29</v>
      </c>
    </row>
    <row r="31" spans="1:6" x14ac:dyDescent="0.2">
      <c r="A31">
        <v>30</v>
      </c>
      <c r="B31">
        <f>D31-115/2</f>
        <v>9.5</v>
      </c>
      <c r="C31">
        <f>115/2-E31</f>
        <v>8.5</v>
      </c>
      <c r="D31">
        <v>67</v>
      </c>
      <c r="E31">
        <v>49</v>
      </c>
      <c r="F31">
        <v>30</v>
      </c>
    </row>
    <row r="32" spans="1:6" x14ac:dyDescent="0.2">
      <c r="A32">
        <v>31</v>
      </c>
      <c r="B32">
        <f>D32-115/2</f>
        <v>11.700000000000003</v>
      </c>
      <c r="C32">
        <f>115/2-E32</f>
        <v>-9.5</v>
      </c>
      <c r="D32">
        <v>69.2</v>
      </c>
      <c r="E32">
        <v>67</v>
      </c>
      <c r="F32">
        <v>31</v>
      </c>
    </row>
    <row r="33" spans="1:6" x14ac:dyDescent="0.2">
      <c r="A33">
        <v>32</v>
      </c>
      <c r="B33">
        <f>D33-115/2</f>
        <v>21.700000000000003</v>
      </c>
      <c r="C33">
        <f>115/2-E33</f>
        <v>-16.5</v>
      </c>
      <c r="D33">
        <v>79.2</v>
      </c>
      <c r="E33">
        <v>74</v>
      </c>
      <c r="F33">
        <v>32</v>
      </c>
    </row>
    <row r="34" spans="1:6" x14ac:dyDescent="0.2">
      <c r="A34">
        <v>33</v>
      </c>
      <c r="B34">
        <f>D34-115/2</f>
        <v>15</v>
      </c>
      <c r="C34">
        <f>115/2-E34</f>
        <v>0.5</v>
      </c>
      <c r="D34">
        <v>72.5</v>
      </c>
      <c r="E34">
        <v>57</v>
      </c>
      <c r="F34">
        <v>33</v>
      </c>
    </row>
    <row r="35" spans="1:6" x14ac:dyDescent="0.2">
      <c r="A35">
        <v>34</v>
      </c>
      <c r="B35">
        <f>D35-115/2</f>
        <v>18.900000000000006</v>
      </c>
      <c r="C35">
        <f>115/2-E35</f>
        <v>-18</v>
      </c>
      <c r="D35">
        <v>76.400000000000006</v>
      </c>
      <c r="E35">
        <v>75.5</v>
      </c>
      <c r="F35">
        <v>34</v>
      </c>
    </row>
    <row r="36" spans="1:6" x14ac:dyDescent="0.2">
      <c r="A36">
        <v>35</v>
      </c>
      <c r="B36">
        <f>D36-115/2</f>
        <v>18.5</v>
      </c>
      <c r="C36">
        <f>115/2-E36</f>
        <v>-6.2999999999999972</v>
      </c>
      <c r="D36">
        <v>76</v>
      </c>
      <c r="E36">
        <v>63.8</v>
      </c>
      <c r="F36">
        <v>35</v>
      </c>
    </row>
    <row r="37" spans="1:6" x14ac:dyDescent="0.2">
      <c r="A37">
        <v>36</v>
      </c>
      <c r="B37">
        <f>D37-115/2</f>
        <v>16</v>
      </c>
      <c r="C37">
        <f>115/2-E37</f>
        <v>16.899999999999999</v>
      </c>
      <c r="D37">
        <v>73.5</v>
      </c>
      <c r="E37">
        <v>40.6</v>
      </c>
      <c r="F37">
        <v>36</v>
      </c>
    </row>
    <row r="38" spans="1:6" x14ac:dyDescent="0.2">
      <c r="A38">
        <v>37</v>
      </c>
      <c r="B38">
        <f>D38-115/2</f>
        <v>24</v>
      </c>
      <c r="C38">
        <f>115/2-E38</f>
        <v>5</v>
      </c>
      <c r="D38">
        <v>81.5</v>
      </c>
      <c r="E38">
        <v>52.5</v>
      </c>
      <c r="F38">
        <v>37</v>
      </c>
    </row>
    <row r="39" spans="1:6" x14ac:dyDescent="0.2">
      <c r="A39">
        <v>38</v>
      </c>
      <c r="B39">
        <f>D39-115/2</f>
        <v>25</v>
      </c>
      <c r="C39">
        <f>115/2-E39</f>
        <v>20.299999999999997</v>
      </c>
      <c r="D39">
        <v>82.5</v>
      </c>
      <c r="E39">
        <v>37.200000000000003</v>
      </c>
      <c r="F39">
        <v>38</v>
      </c>
    </row>
    <row r="40" spans="1:6" x14ac:dyDescent="0.2">
      <c r="A40">
        <v>39</v>
      </c>
      <c r="B40">
        <f>D40-115/2</f>
        <v>29.299999999999997</v>
      </c>
      <c r="C40">
        <f>115/2-E40</f>
        <v>3.7000000000000028</v>
      </c>
      <c r="D40">
        <v>86.8</v>
      </c>
      <c r="E40">
        <v>53.8</v>
      </c>
      <c r="F40">
        <v>39</v>
      </c>
    </row>
    <row r="41" spans="1:6" x14ac:dyDescent="0.2">
      <c r="A41">
        <v>40</v>
      </c>
      <c r="B41">
        <f>D41-115/2</f>
        <v>30.299999999999997</v>
      </c>
      <c r="C41">
        <f>115/2-E41</f>
        <v>22</v>
      </c>
      <c r="D41">
        <v>87.8</v>
      </c>
      <c r="E41">
        <v>35.5</v>
      </c>
      <c r="F41">
        <v>40</v>
      </c>
    </row>
    <row r="42" spans="1:6" x14ac:dyDescent="0.2">
      <c r="A42">
        <v>41</v>
      </c>
      <c r="B42">
        <f>D42-115/2</f>
        <v>40</v>
      </c>
      <c r="C42">
        <f>115/2-E42</f>
        <v>1.2999999999999972</v>
      </c>
      <c r="D42">
        <v>97.5</v>
      </c>
      <c r="E42">
        <v>56.2</v>
      </c>
      <c r="F42">
        <v>41</v>
      </c>
    </row>
    <row r="43" spans="1:6" x14ac:dyDescent="0.2">
      <c r="A43">
        <v>42</v>
      </c>
      <c r="B43">
        <f>D43-115/2</f>
        <v>52.5</v>
      </c>
      <c r="C43">
        <f>115/2-E43</f>
        <v>-34.5</v>
      </c>
      <c r="D43">
        <v>110</v>
      </c>
      <c r="E43">
        <v>92</v>
      </c>
      <c r="F43">
        <v>42</v>
      </c>
    </row>
    <row r="44" spans="1:6" x14ac:dyDescent="0.2">
      <c r="A44">
        <v>43</v>
      </c>
      <c r="B44">
        <f>D44-115/2</f>
        <v>50.5</v>
      </c>
      <c r="C44">
        <f>115/2-E44</f>
        <v>-3.7000000000000028</v>
      </c>
      <c r="D44">
        <v>108</v>
      </c>
      <c r="E44">
        <v>61.2</v>
      </c>
      <c r="F44">
        <v>43</v>
      </c>
    </row>
    <row r="45" spans="1:6" x14ac:dyDescent="0.2">
      <c r="A45">
        <v>44</v>
      </c>
      <c r="B45">
        <f>D45-115/2</f>
        <v>54</v>
      </c>
      <c r="C45">
        <f>115/2-E45</f>
        <v>-13</v>
      </c>
      <c r="D45">
        <v>111.5</v>
      </c>
      <c r="E45">
        <v>70.5</v>
      </c>
      <c r="F45">
        <v>44</v>
      </c>
    </row>
    <row r="46" spans="1:6" x14ac:dyDescent="0.2">
      <c r="A46">
        <v>45</v>
      </c>
      <c r="B46">
        <f>D46-115/2</f>
        <v>-21.5</v>
      </c>
      <c r="C46">
        <f>115/2-E46</f>
        <v>14.5</v>
      </c>
      <c r="D46">
        <v>36</v>
      </c>
      <c r="E46">
        <v>43</v>
      </c>
      <c r="F46">
        <v>45</v>
      </c>
    </row>
  </sheetData>
  <sortState xmlns:xlrd2="http://schemas.microsoft.com/office/spreadsheetml/2017/richdata2" ref="A2:E46">
    <sortCondition ref="A1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Kumar UG</dc:creator>
  <cp:lastModifiedBy>Siddharth Kumar UG</cp:lastModifiedBy>
  <dcterms:created xsi:type="dcterms:W3CDTF">2025-07-01T11:09:24Z</dcterms:created>
  <dcterms:modified xsi:type="dcterms:W3CDTF">2025-07-01T12:10:02Z</dcterms:modified>
</cp:coreProperties>
</file>